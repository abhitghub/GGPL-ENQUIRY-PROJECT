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Live Data\BASIC VALUE\"/>
    </mc:Choice>
  </mc:AlternateContent>
  <xr:revisionPtr revIDLastSave="0" documentId="8_{DA3D41DD-6B45-4662-B15D-B7F0CF3C3288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PurchaseRequisitionLines 260418" sheetId="1" r:id="rId1"/>
  </sheets>
  <definedNames>
    <definedName name="_xlnm._FilterDatabase" localSheetId="0" hidden="1">'PurchaseRequisitionLines 260418'!$A$1:$I$36</definedName>
  </definedNames>
  <calcPr calcId="191029"/>
</workbook>
</file>

<file path=xl/calcChain.xml><?xml version="1.0" encoding="utf-8"?>
<calcChain xmlns="http://schemas.openxmlformats.org/spreadsheetml/2006/main">
  <c r="I37" i="1" l="1"/>
  <c r="I14" i="1"/>
  <c r="I25" i="1"/>
  <c r="I31" i="1"/>
  <c r="I36" i="1"/>
  <c r="I29" i="1"/>
  <c r="I28" i="1"/>
  <c r="I27" i="1"/>
  <c r="I34" i="1"/>
  <c r="I26" i="1"/>
  <c r="I24" i="1"/>
  <c r="I22" i="1"/>
  <c r="I21" i="1"/>
  <c r="I16" i="1"/>
  <c r="I32" i="1"/>
  <c r="I12" i="1"/>
  <c r="I10" i="1"/>
  <c r="I8" i="1"/>
  <c r="I6" i="1"/>
  <c r="I4" i="1"/>
  <c r="I3" i="1"/>
  <c r="I5" i="1"/>
  <c r="I7" i="1"/>
  <c r="I9" i="1"/>
  <c r="I11" i="1"/>
  <c r="I13" i="1"/>
  <c r="I15" i="1"/>
  <c r="I17" i="1"/>
  <c r="I18" i="1"/>
  <c r="I19" i="1"/>
  <c r="I20" i="1"/>
  <c r="I23" i="1"/>
  <c r="I30" i="1"/>
  <c r="I33" i="1"/>
  <c r="I35" i="1"/>
  <c r="I2" i="1"/>
</calcChain>
</file>

<file path=xl/sharedStrings.xml><?xml version="1.0" encoding="utf-8"?>
<sst xmlns="http://schemas.openxmlformats.org/spreadsheetml/2006/main" count="153" uniqueCount="52">
  <si>
    <t>MBG-PR-85909</t>
  </si>
  <si>
    <t>NOS</t>
  </si>
  <si>
    <t>ITEM: GASKET, SIZE IN INCH: 2", END CONNECTION: SPRL-WIND RF, SCH/THK: 4.5 MM THK UNCOMPRESSED, 3.2 MM THK COMPRESSED, DIMENSIONAL STANDARD: ASME B16.20, 
MATERIAL STANDARD:
TP304 SS WINDING - GRAPHITE FILLER,
INNER RING - TP304 SS,
OUTER RING - CS. 
LOCATION: NEW WWTP.</t>
  </si>
  <si>
    <t>ITEM: GASKET, SIZE IN INCH: 4", END CONNECTION: SPRL-WIND RF, SCH/THK: 4.5 MM THK UNCOMPRESSED, 3.2 MM THK COMPRESSED, DIMENSIONAL STANDARD: ASME B16.20, 
MATERIAL STANDARD:
TP304 SS WINDING - GRAPHITE FILLER,
INNER RING - TP304 SS,
OUTER RING - CS. 
LOCATION: SWGP.</t>
  </si>
  <si>
    <t>ITEM: GASKET, SIZE IN INCH: 6", END CONNECTION: SPRL-WIND RF, SCH/THK: 4.5 MM THK UNCOMPRESSED, 3.2 MM THK COMPRESSED, DIMENSIONAL STANDARD: ASME B16.20, 
MATERIAL STANDARD:
TP304 SS WINDING - GRAPHITE FILLER,
INNER RING - TP304 SS,
OUTER RING - CS. 
LOCATION: SWGP.</t>
  </si>
  <si>
    <t>ITEM: GASKET, SIZE IN INCH: 10", END CONNECTION: SPRL-WIND RF, SCH/THK: 4.5 MM THK UNCOMPRESSED, 3.2 MM THK COMPRESSED, DIMENSIONAL STANDARD: ASME B16.20, 
MATERIAL STANDARD:
TP304 SS WINDING - GRAPHITE FILLER,
INNER RING - TP304 SS,
OUTER RING - CS. 
LOCATION: SWGP.</t>
  </si>
  <si>
    <t>ITEM: GASKET, SIZE IN INCH: 14", END CONNECTION: SPRL-WIND RF, SCH/THK: 4.5 MM THK UNCOMPRESSED, 3.2 MM THK COMPRESSED, DIMENSIONAL STANDARD: ASME B16.20, 
MATERIAL STANDARD:
TP304 SS WINDING - GRAPHITE FILLER,
INNER RING - TP304 SS,
OUTER RING - CS. 
LOCATION: SWGP.</t>
  </si>
  <si>
    <t>ITEM: GASKET, SIZE IN INCH: 2", END CONNECTION: RF, SCH/THK: 3.0 MM THK, DIMENSIONAL STANDARD: ASME B16.21, 
MATERIAL STANDARD:BUTYL RUBBER, 
LOCATION: SWGP.</t>
  </si>
  <si>
    <t>ITEM: GASKET, SIZE IN INCH: 2", END CONNECTION: SPRL-WIND RF, SCH/THK: 4.5 MM THK UNCOMPRESSED, 3.2 MM THK COMPRESSED, DIMENSIONAL STANDARD: ASME B16.20, 
MATERIAL STANDARD:
TP304 SS WINDING - GRAPHITE FILLER,
INNER RING - TP304 SS,
OUTER RING - CS. 
LOCATION: RO BASED ZLD.</t>
  </si>
  <si>
    <t>ITEM: GASKET, SIZE IN INCH: 4", END CONNECTION: SPRL-WIND RF, SCH/THK: 4.5 MM THK UNCOMPRESSED, 3.2 MM THK COMPRESSED, DIMENSIONAL STANDARD: ASME B16.20, 
MATERIAL STANDARD:
TP304 SS WINDING - GRAPHITE FILLER,
INNER RING - TP304 SS,
OUTER RING - CS. 
LOCATION: RO BASED ZLD.</t>
  </si>
  <si>
    <t>ITEM: GASKET, SIZE IN INCH: 6", END CONNECTION: SPRL-WIND RF, SCH/THK: 4.5 MM THK UNCOMPRESSED, 3.2 MM THK COMPRESSED, DIMENSIONAL STANDARD: ASME B16.20, 
MATERIAL STANDARD:
TP304 SS WINDING - GRAPHITE FILLER,
INNER RING - TP304 SS,
OUTER RING - CS. 
LOCATION: RO BASED ZLD.</t>
  </si>
  <si>
    <t>ITEM: GASKET, SIZE IN INCH: 8", END CONNECTION: SPRL-WIND RF, SCH/THK: 4.5 MM THK UNCOMPRESSED, 3.2 MM THK COMPRESSED, DIMENSIONAL STANDARD: ASME B16.20, 
MATERIAL STANDARD:
TP304 SS WINDING - GRAPHITE FILLER,
INNER RING - TP304 SS,
OUTER RING - CS. 
LOCATION: RO BASED ZLD.</t>
  </si>
  <si>
    <t>ITEM: GASKET, SIZE IN INCH: 14", END CONNECTION: SPRL-WIND RF, SCH/THK: 4.5 MM THK UNCOMPRESSED, 3.2 MM THK COMPRESSED, DIMENSIONAL STANDARD: ASME B16.20, 
MATERIAL STANDARD:
TP304 SS WINDING - GRAPHITE FILLER,
INNER RING - TP304 SS,
OUTER RING - CS. 
LOCATION: RO BASED ZLD.</t>
  </si>
  <si>
    <t>ITEM: GASKET, SIZE IN INCH: 3", END CONNECTION: SPRL-WIND RF, SCH/THK: 4.5 MM THK UNCOMPRESSED, 3.2 MM THK COMPRESSED, DIMENSIONAL STANDARD: ASME B16.20, 
MATERIAL STANDARD:
TP304 SS WINDING - GRAPHITE FILLER,
INNER RING - TP304 SS,
OUTER RING - CS. 
LOCATION: NEW WWTP.</t>
  </si>
  <si>
    <t>ITEM: GASKET, SIZE IN INCH: 2", END CONNECTION: RF, SCH/THK: 3.0 MM THK, DIMENSIONAL STANDARD: ASME B16.21, 
MATERIAL STANDARD:BUTYL RUBBER, 
LOCATION: RO BASED ZLD.</t>
  </si>
  <si>
    <t>ITEM: GASKET, SIZE IN INCH: 2", END CONNECTION: SPRL-WIND RF, SCH/THK: 4.5 MM THK UNCOMPRESSED, 3.2 MM THK COMPRESSED, DIMENSIONAL STANDARD: ASME B16.20, 
MATERIAL STANDARD:
TP304 SS WINDING - GRAPHITE FILLER,
INNER RING - TP304 SS,
OUTER RING - TP304 SS. 
LOCATION: RO BASED ZLD.</t>
  </si>
  <si>
    <t>ITEM: GASKET, SIZE IN INCH: 6", END CONNECTION: SPRL-WIND RF, SCH/THK: 4.5 MM THK UNCOMPRESSED, 3.2 MM THK COMPRESSED, DIMENSIONAL STANDARD: ASME B16.20, 
MATERIAL STANDARD:
TP316L SS WINDING - GRAPHITE FILLER,
INNER RING - TP316L SS,
OUTER RING - TP316L SS. 
LOCATION: RO BASED ZLD.</t>
  </si>
  <si>
    <t>ITEM: GASKET, SIZE IN INCH: 2", END CONNECTION: RF, SCH/THK: 3.0 MM THK, DIMENSIONAL STANDARD: ASME B16.20, 
MATERIAL STANDARD:SPIRAL WOUND DSS UNS S32205, FLEXIBLE GRAPHITE FILLED WITH I RING, 
LOCATION: RO BASED ZLD.</t>
  </si>
  <si>
    <t>ITEM: GASKET, SIZE IN INCH: 3", END CONNECTION: RF, SCH/THK: 3.0 MM THK, DIMENSIONAL STANDARD: ASME B16.20, 
MATERIAL STANDARD:SPIRAL WOUND DSS UNS S32205, FLEXIBLE GRAPHITE FILLED WITH I RING, 
LOCATION: RO BASED ZLD.</t>
  </si>
  <si>
    <t>"ITEM: GASKET, SIZE IN INCH: 10"", END CONNECTION: SPRL-WIND RF, SCH/THK: 4.5 MM THK UNCOMPRESSED, 3.2 MM THK COMPRESSED, DIMENSIONAL STANDARD: ASME B16.20, 
MATERIAL STANDARD:
TP304 SS WINDING - GRAPHITE FILLER,
INNER RING - TP304 SS,
OUTER RING - CS. 
LOCATION: EXISTING WWTP."</t>
  </si>
  <si>
    <t>ITEM: GASKET, SIZE IN INCH: 2", END CONNECTION: SPRL-WIND RF, SCH/THK: 4.5 MM THK UNCOMPRESSED, 3.2 MM THK COMPRESSED, DIMENSIONAL STANDARD: ASME B16.20,</t>
  </si>
  <si>
    <t>"ITEM: GASKET, SIZE IN INCH: 3"", END CONNECTION: SPRL-WIND RF, SCH/THK: 4.5 MM THK UNCOMPRESSED, 3.2 MM THK COMPRESSED, DIMENSIONAL STANDARD: ASME B16.20, 
MATERIAL STANDARD:
TP304 SS WINDING - GRAPHITE FILLER,
INNER RING - TP304 SS,
OUTER RING - CS. 
LOCATION: EXISTING WWTP."</t>
  </si>
  <si>
    <t>"ITEM: GASKET, SIZE IN INCH: 4"", END CONNECTION: SPRL-WIND RF, SCH/THK: 4.5 MM THK UNCOMPRESSED, 3.2 MM THK COMPRESSED, DIMENSIONAL STANDARD: ASME B16.20, 
MATERIAL STANDARD:
TP304 SS WINDING - GRAPHITE FILLER,
INNER RING - TP304 SS,
OUTER RING - CS. 
LOCATION: EXISTING WWTP."</t>
  </si>
  <si>
    <t>ITEM: GASKET, SIZE IN INCH: 4", END CONNECTION: SPRL-WIND RF, SCH/THK: 4.5 MM THK UNCOMPRESSED, 3.2 MM THK COMPRESSED, DIMENSIONAL STANDARD: ASME B16.20, 
MATERIAL STANDARD:
TP304 SS WINDING - GRAPHITE FILLER,
INNER RING - TP304 SS,
OUTER RING - CS. 
LOCATION: NEW WWTP.</t>
  </si>
  <si>
    <t>ITEM: GASKET, SIZE IN INCH: 6", END CONNECTION: SPRL-WIND RF, SCH/THK: 4.5 MM THK UNCOMPRESSED, 3.2 MM THK COMPRESSED, DIMENSIONAL STANDARD: ASME B16.20, 
MATERIAL STANDARD:
TP304 SS WINDING - GRAPHITE FILLER,
INNER RING - TP304 SS,
OUTER RING - CS. 
LOCATION: NEW WWTP.</t>
  </si>
  <si>
    <t>ITEM: GASKET, SIZE IN INCH: 8", END CONNECTION: SPRL-WIND RF, SCH/THK: 4.5 MM THK UNCOMPRESSED, 3.2 MM THK COMPRESSED, DIMENSIONAL STANDARD: ASME B16.20, 
MATERIAL STANDARD:
TP304 SS WINDING - GRAPHITE FILLER,
INNER RING - TP304 SS,
OUTER RING - CS. 
LOCATION: NEW WWTP.</t>
  </si>
  <si>
    <t>ITEM: GASKET, SIZE IN INCH: 10", END CONNECTION: SPRL-WIND RF, SCH/THK: 4.5 MM THK UNCOMPRESSED, 3.2 MM THK COMPRESSED, DIMENSIONAL STANDARD: ASME B16.20, 
MATERIAL STANDARD:
TP304 SS WINDING - GRAPHITE FILLER,
INNER RING - TP304 SS,
OUTER RING - CS. 
LOCATION: NEW WWTP.</t>
  </si>
  <si>
    <t>ITEM: GASKET, SIZE IN INCH: 2", END CONNECTION: RF, SCH/THK: 3.0 MM THK, DIMENSIONAL STANDARD: ASME B16.21, 
MATERIAL STANDARD:BUTYL RUBBER, 
LOCATION: NEW WWTP.</t>
  </si>
  <si>
    <t>ITEM: GASKET, SIZE IN INCH: 2", END CONNECTION: SPRL-WIND RF, SCH/THK: 4.5 MM THK UNCOMPRESSED, 3.2 MM THK COMPRESSED, DIMENSIONAL STANDARD: ASME B16.20, 
MATERIAL STANDARD:
TP304 SS WINDING - GRAPHITE FILLER,
INNER RING - TP304 SS,
OUTER RING - CS. 
LOCATION: SWGP.</t>
  </si>
  <si>
    <t>ITEM: GASKET, SIZE IN INCH: 3", END CONNECTION: SPRL-WIND RF, SCH/THK: 4.5 MM THK UNCOMPRESSED, 3.2 MM THK COMPRESSED, DIMENSIONAL STANDARD: ASME B16.20, 
MATERIAL STANDARD:
TP304 SS WINDING - GRAPHITE FILLER,
INNER RING - TP304 SS,
OUTER RING - CS. 
LOCATION: SWGP.</t>
  </si>
  <si>
    <t>ITEM: GASKET, SIZE IN INCH: 2", END CONNECTION: FULL FACE, SCH/THK: 3.0 MM THK, DIMENSIONAL STANDARD: ANSI B16.21, TO SUIT ANSI B16.5 150#, 
MATERIAL STANDARD:EPDM, 
LOCATION: RO BASED ZLD.</t>
  </si>
  <si>
    <t>ITEM: GASKET, SIZE IN INCH: 4", END CONNECTION: FULL FACE, SCH/THK: 3.0 MM THK, DIMENSIONAL STANDARD: ANSI B16.21, TO SUIT ANSI B16.5 150#, 
MATERIAL STANDARD:EPDM, 
LOCATION: RO BASED ZLD.</t>
  </si>
  <si>
    <t>ITEM: GASKET, SIZE IN INCH: 6", END CONNECTION: FULL FACE, SCH/THK: 3.0 MM THK, DIMENSIONAL STANDARD: ANSI B16.21, TO SUIT ANSI B16.5 150#, 
MATERIAL STANDARD:EPDM, 
LOCATION: RO BASED ZLD.</t>
  </si>
  <si>
    <t>ITEM: GASKET, SIZE IN INCH: 8", END CONNECTION: FULL FACE, SCH/THK: 3.0 MM THK, DIMENSIONAL STANDARD: ANSI B16.21, TO SUIT ANSI B16.5 150#, 
MATERIAL STANDARD:EPDM, 
LOCATION: RO BASED ZLD.</t>
  </si>
  <si>
    <t>ITEM: GASKET, SIZE IN INCH: 10", END CONNECTION: FULL FACE, SCH/THK: 3.0 MM THK, DIMENSIONAL STANDARD: ANSI B16.21, TO SUIT ANSI B16.5 150#, 
MATERIAL STANDARD:EPDM, 
LOCATION: RO BASED ZLD.</t>
  </si>
  <si>
    <t>ITEM: GASKET, SIZE IN INCH: 12", END CONNECTION: FULL FACE, SCH/THK: 3.0 MM THK, DIMENSIONAL STANDARD: ANSI B16.21, TO SUIT ANSI B16.5 150#, 
MATERIAL STANDARD:EPDM, 
LOCATION: RO BASED ZLD.</t>
  </si>
  <si>
    <t>SP WIND</t>
  </si>
  <si>
    <t>BUTYL RUBBER</t>
  </si>
  <si>
    <t xml:space="preserve">SP WIND </t>
  </si>
  <si>
    <t>EPDM</t>
  </si>
  <si>
    <t>SL.NO.</t>
  </si>
  <si>
    <t>REQUISITION NO</t>
  </si>
  <si>
    <t>ITEM DESCRIPTION</t>
  </si>
  <si>
    <t>TYPE</t>
  </si>
  <si>
    <t>SIZE</t>
  </si>
  <si>
    <t>QTY</t>
  </si>
  <si>
    <t>UOM</t>
  </si>
  <si>
    <t xml:space="preserve">UNIT PRICE </t>
  </si>
  <si>
    <t xml:space="preserve">TOTAL PRICE </t>
  </si>
  <si>
    <t xml:space="preserve">REMARKS </t>
  </si>
  <si>
    <t xml:space="preserve">KINDLY PROVIDE CLEAR SPEC </t>
  </si>
  <si>
    <t>WE ARE PROCEEDING OUTER RING AS "CS"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</si>
</sst>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sz val="22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43" fontId="19" fillId="0" borderId="10" xfId="42" applyFont="1" applyBorder="1" applyAlignment="1">
      <alignment horizontal="center" vertical="center"/>
    </xf>
    <xf numFmtId="43" fontId="18" fillId="0" borderId="10" xfId="42" applyFont="1" applyBorder="1" applyAlignment="1">
      <alignment horizontal="center" vertical="center"/>
    </xf>
    <xf numFmtId="43" fontId="18" fillId="0" borderId="0" xfId="42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43" fontId="21" fillId="0" borderId="0" xfId="42" applyFont="1" applyAlignment="1">
      <alignment horizontal="center" vertical="center"/>
    </xf>
    <xf numFmtId="43" fontId="21" fillId="0" borderId="10" xfId="42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C34" workbookViewId="0">
      <selection activeCell="H36" sqref="H36"/>
    </sheetView>
  </sheetViews>
  <sheetFormatPr defaultRowHeight="18" x14ac:dyDescent="0.25"/>
  <cols>
    <col min="1" max="1" width="10.140625" style="3" bestFit="1" customWidth="1"/>
    <col min="2" max="2" width="20.7109375" style="3" customWidth="1"/>
    <col min="3" max="3" width="115.7109375" style="4" customWidth="1"/>
    <col min="4" max="4" width="14.7109375" style="4" customWidth="1"/>
    <col min="5" max="7" width="8.7109375" style="3" customWidth="1"/>
    <col min="8" max="8" width="18.140625" style="11" bestFit="1" customWidth="1"/>
    <col min="9" max="9" width="21.28515625" style="11" bestFit="1" customWidth="1"/>
    <col min="10" max="10" width="22.7109375" style="3" customWidth="1"/>
    <col min="11" max="16384" width="9.140625" style="3"/>
  </cols>
  <sheetData>
    <row r="1" spans="1:10" s="6" customFormat="1" ht="45" customHeight="1" x14ac:dyDescent="0.25">
      <c r="A1" s="5" t="s">
        <v>40</v>
      </c>
      <c r="B1" s="7" t="s">
        <v>41</v>
      </c>
      <c r="C1" s="7" t="s">
        <v>42</v>
      </c>
      <c r="D1" s="7" t="s">
        <v>43</v>
      </c>
      <c r="E1" s="5" t="s">
        <v>44</v>
      </c>
      <c r="F1" s="5" t="s">
        <v>45</v>
      </c>
      <c r="G1" s="5" t="s">
        <v>46</v>
      </c>
      <c r="H1" s="9" t="s">
        <v>47</v>
      </c>
      <c r="I1" s="9" t="s">
        <v>48</v>
      </c>
      <c r="J1" s="9" t="s">
        <v>49</v>
      </c>
    </row>
    <row r="2" spans="1:10" ht="75" customHeight="1" x14ac:dyDescent="0.25">
      <c r="A2" s="1">
        <v>1</v>
      </c>
      <c r="B2" s="1" t="s">
        <v>0</v>
      </c>
      <c r="C2" s="8" t="s">
        <v>7</v>
      </c>
      <c r="D2" s="2" t="s">
        <v>37</v>
      </c>
      <c r="E2" s="1">
        <v>2</v>
      </c>
      <c r="F2" s="1">
        <v>2</v>
      </c>
      <c r="G2" s="1" t="s">
        <v>1</v>
      </c>
      <c r="H2" s="10">
        <v>57.024000000000015</v>
      </c>
      <c r="I2" s="10">
        <f>E2*H2</f>
        <v>114.04800000000003</v>
      </c>
    </row>
    <row r="3" spans="1:10" ht="75" customHeight="1" x14ac:dyDescent="0.25">
      <c r="A3" s="1">
        <v>2</v>
      </c>
      <c r="B3" s="1" t="s">
        <v>0</v>
      </c>
      <c r="C3" s="8" t="s">
        <v>14</v>
      </c>
      <c r="D3" s="2" t="s">
        <v>37</v>
      </c>
      <c r="E3" s="1">
        <v>2</v>
      </c>
      <c r="F3" s="1">
        <v>4</v>
      </c>
      <c r="G3" s="1" t="s">
        <v>1</v>
      </c>
      <c r="H3" s="10">
        <v>57.024000000000015</v>
      </c>
      <c r="I3" s="10">
        <f t="shared" ref="I3:I36" si="0">E3*H3</f>
        <v>114.04800000000003</v>
      </c>
    </row>
    <row r="4" spans="1:10" ht="75" customHeight="1" x14ac:dyDescent="0.25">
      <c r="A4" s="1">
        <v>3</v>
      </c>
      <c r="B4" s="1" t="s">
        <v>0</v>
      </c>
      <c r="C4" s="8" t="s">
        <v>27</v>
      </c>
      <c r="D4" s="2" t="s">
        <v>37</v>
      </c>
      <c r="E4" s="1">
        <v>2</v>
      </c>
      <c r="F4" s="1">
        <v>2</v>
      </c>
      <c r="G4" s="1" t="s">
        <v>1</v>
      </c>
      <c r="H4" s="10">
        <v>57.024000000000015</v>
      </c>
      <c r="I4" s="10">
        <f t="shared" si="0"/>
        <v>114.04800000000003</v>
      </c>
    </row>
    <row r="5" spans="1:10" ht="75" customHeight="1" x14ac:dyDescent="0.25">
      <c r="A5" s="1">
        <v>4</v>
      </c>
      <c r="B5" s="1" t="s">
        <v>0</v>
      </c>
      <c r="C5" s="8" t="s">
        <v>30</v>
      </c>
      <c r="D5" s="1" t="s">
        <v>39</v>
      </c>
      <c r="E5" s="1">
        <v>2</v>
      </c>
      <c r="F5" s="1">
        <v>42</v>
      </c>
      <c r="G5" s="1" t="s">
        <v>1</v>
      </c>
      <c r="H5" s="10">
        <v>110.44044000000001</v>
      </c>
      <c r="I5" s="10">
        <f t="shared" si="0"/>
        <v>220.88088000000002</v>
      </c>
    </row>
    <row r="6" spans="1:10" ht="75" customHeight="1" x14ac:dyDescent="0.25">
      <c r="A6" s="1">
        <v>5</v>
      </c>
      <c r="B6" s="1" t="s">
        <v>0</v>
      </c>
      <c r="C6" s="8" t="s">
        <v>31</v>
      </c>
      <c r="D6" s="1" t="s">
        <v>39</v>
      </c>
      <c r="E6" s="1">
        <v>4</v>
      </c>
      <c r="F6" s="1">
        <v>8</v>
      </c>
      <c r="G6" s="1" t="s">
        <v>1</v>
      </c>
      <c r="H6" s="10">
        <v>235.76256000000004</v>
      </c>
      <c r="I6" s="10">
        <f t="shared" si="0"/>
        <v>943.05024000000014</v>
      </c>
    </row>
    <row r="7" spans="1:10" ht="75" customHeight="1" x14ac:dyDescent="0.25">
      <c r="A7" s="1">
        <v>6</v>
      </c>
      <c r="B7" s="1" t="s">
        <v>0</v>
      </c>
      <c r="C7" s="8" t="s">
        <v>32</v>
      </c>
      <c r="D7" s="1" t="s">
        <v>39</v>
      </c>
      <c r="E7" s="1">
        <v>6</v>
      </c>
      <c r="F7" s="1">
        <v>8</v>
      </c>
      <c r="G7" s="1" t="s">
        <v>1</v>
      </c>
      <c r="H7" s="10">
        <v>342.28656000000007</v>
      </c>
      <c r="I7" s="10">
        <f t="shared" si="0"/>
        <v>2053.7193600000005</v>
      </c>
    </row>
    <row r="8" spans="1:10" ht="75" customHeight="1" x14ac:dyDescent="0.25">
      <c r="A8" s="1">
        <v>7</v>
      </c>
      <c r="B8" s="1" t="s">
        <v>0</v>
      </c>
      <c r="C8" s="8" t="s">
        <v>33</v>
      </c>
      <c r="D8" s="1" t="s">
        <v>39</v>
      </c>
      <c r="E8" s="1">
        <v>8</v>
      </c>
      <c r="F8" s="1">
        <v>16</v>
      </c>
      <c r="G8" s="1" t="s">
        <v>1</v>
      </c>
      <c r="H8" s="10">
        <v>507.52944000000008</v>
      </c>
      <c r="I8" s="10">
        <f t="shared" si="0"/>
        <v>4060.2355200000006</v>
      </c>
    </row>
    <row r="9" spans="1:10" ht="75" customHeight="1" x14ac:dyDescent="0.25">
      <c r="A9" s="1">
        <v>8</v>
      </c>
      <c r="B9" s="1" t="s">
        <v>0</v>
      </c>
      <c r="C9" s="8" t="s">
        <v>34</v>
      </c>
      <c r="D9" s="1" t="s">
        <v>39</v>
      </c>
      <c r="E9" s="1">
        <v>10</v>
      </c>
      <c r="F9" s="1">
        <v>6</v>
      </c>
      <c r="G9" s="1" t="s">
        <v>1</v>
      </c>
      <c r="H9" s="10">
        <v>701.87436000000002</v>
      </c>
      <c r="I9" s="10">
        <f t="shared" si="0"/>
        <v>7018.7435999999998</v>
      </c>
    </row>
    <row r="10" spans="1:10" ht="75" customHeight="1" x14ac:dyDescent="0.25">
      <c r="A10" s="1">
        <v>9</v>
      </c>
      <c r="B10" s="1" t="s">
        <v>0</v>
      </c>
      <c r="C10" s="8" t="s">
        <v>35</v>
      </c>
      <c r="D10" s="1" t="s">
        <v>39</v>
      </c>
      <c r="E10" s="1">
        <v>12</v>
      </c>
      <c r="F10" s="1">
        <v>4</v>
      </c>
      <c r="G10" s="1" t="s">
        <v>1</v>
      </c>
      <c r="H10" s="10">
        <v>982.09584000000007</v>
      </c>
      <c r="I10" s="10">
        <f t="shared" si="0"/>
        <v>11785.150080000001</v>
      </c>
    </row>
    <row r="11" spans="1:10" ht="126.95" customHeight="1" x14ac:dyDescent="0.25">
      <c r="A11" s="1">
        <v>10</v>
      </c>
      <c r="B11" s="1" t="s">
        <v>0</v>
      </c>
      <c r="C11" s="8" t="s">
        <v>2</v>
      </c>
      <c r="D11" s="1" t="s">
        <v>36</v>
      </c>
      <c r="E11" s="1">
        <v>2</v>
      </c>
      <c r="F11" s="1">
        <v>74</v>
      </c>
      <c r="G11" s="1" t="s">
        <v>1</v>
      </c>
      <c r="H11" s="10">
        <v>116</v>
      </c>
      <c r="I11" s="10">
        <f t="shared" si="0"/>
        <v>232</v>
      </c>
    </row>
    <row r="12" spans="1:10" ht="126.95" customHeight="1" x14ac:dyDescent="0.25">
      <c r="A12" s="1">
        <v>11</v>
      </c>
      <c r="B12" s="1" t="s">
        <v>0</v>
      </c>
      <c r="C12" s="8" t="s">
        <v>8</v>
      </c>
      <c r="D12" s="1" t="s">
        <v>36</v>
      </c>
      <c r="E12" s="1">
        <v>2</v>
      </c>
      <c r="F12" s="1">
        <v>32</v>
      </c>
      <c r="G12" s="1" t="s">
        <v>1</v>
      </c>
      <c r="H12" s="10">
        <v>116</v>
      </c>
      <c r="I12" s="10">
        <f t="shared" si="0"/>
        <v>232</v>
      </c>
    </row>
    <row r="13" spans="1:10" ht="126.95" customHeight="1" x14ac:dyDescent="0.25">
      <c r="A13" s="1">
        <v>12</v>
      </c>
      <c r="B13" s="1" t="s">
        <v>0</v>
      </c>
      <c r="C13" s="8" t="s">
        <v>15</v>
      </c>
      <c r="D13" s="1" t="s">
        <v>36</v>
      </c>
      <c r="E13" s="1">
        <v>2</v>
      </c>
      <c r="F13" s="1">
        <v>4</v>
      </c>
      <c r="G13" s="1" t="s">
        <v>1</v>
      </c>
      <c r="H13" s="10">
        <v>188.875</v>
      </c>
      <c r="I13" s="10">
        <f t="shared" si="0"/>
        <v>377.75</v>
      </c>
    </row>
    <row r="14" spans="1:10" ht="95.1" customHeight="1" x14ac:dyDescent="0.25">
      <c r="A14" s="1">
        <v>13</v>
      </c>
      <c r="B14" s="1" t="s">
        <v>0</v>
      </c>
      <c r="C14" s="8" t="s">
        <v>17</v>
      </c>
      <c r="D14" s="1" t="s">
        <v>36</v>
      </c>
      <c r="E14" s="1">
        <v>2</v>
      </c>
      <c r="F14" s="1">
        <v>16</v>
      </c>
      <c r="G14" s="1" t="s">
        <v>1</v>
      </c>
      <c r="H14" s="10">
        <v>208.55607009929707</v>
      </c>
      <c r="I14" s="10">
        <f t="shared" si="0"/>
        <v>417.11214019859415</v>
      </c>
      <c r="J14" s="2" t="s">
        <v>51</v>
      </c>
    </row>
    <row r="15" spans="1:10" ht="50.1" customHeight="1" x14ac:dyDescent="0.25">
      <c r="A15" s="1">
        <v>14</v>
      </c>
      <c r="B15" s="1" t="s">
        <v>0</v>
      </c>
      <c r="C15" s="8" t="s">
        <v>20</v>
      </c>
      <c r="D15" s="1" t="s">
        <v>36</v>
      </c>
      <c r="E15" s="1">
        <v>2</v>
      </c>
      <c r="F15" s="1">
        <v>46</v>
      </c>
      <c r="G15" s="1" t="s">
        <v>1</v>
      </c>
      <c r="H15" s="10">
        <v>0</v>
      </c>
      <c r="I15" s="10">
        <f t="shared" si="0"/>
        <v>0</v>
      </c>
      <c r="J15" s="2" t="s">
        <v>50</v>
      </c>
    </row>
    <row r="16" spans="1:10" ht="126.95" customHeight="1" x14ac:dyDescent="0.25">
      <c r="A16" s="1">
        <v>15</v>
      </c>
      <c r="B16" s="1" t="s">
        <v>0</v>
      </c>
      <c r="C16" s="8" t="s">
        <v>13</v>
      </c>
      <c r="D16" s="1" t="s">
        <v>36</v>
      </c>
      <c r="E16" s="1">
        <v>3</v>
      </c>
      <c r="F16" s="1">
        <v>146</v>
      </c>
      <c r="G16" s="1" t="s">
        <v>1</v>
      </c>
      <c r="H16" s="10">
        <v>199.125</v>
      </c>
      <c r="I16" s="10">
        <f t="shared" si="0"/>
        <v>597.375</v>
      </c>
    </row>
    <row r="17" spans="1:10" ht="95.1" customHeight="1" x14ac:dyDescent="0.25">
      <c r="A17" s="1">
        <v>16</v>
      </c>
      <c r="B17" s="1" t="s">
        <v>0</v>
      </c>
      <c r="C17" s="8" t="s">
        <v>18</v>
      </c>
      <c r="D17" s="1" t="s">
        <v>36</v>
      </c>
      <c r="E17" s="1">
        <v>3</v>
      </c>
      <c r="F17" s="1">
        <v>8</v>
      </c>
      <c r="G17" s="1" t="s">
        <v>1</v>
      </c>
      <c r="H17" s="10">
        <v>372.69229619173058</v>
      </c>
      <c r="I17" s="10">
        <f t="shared" si="0"/>
        <v>1118.0768885751918</v>
      </c>
      <c r="J17" s="2" t="s">
        <v>51</v>
      </c>
    </row>
    <row r="18" spans="1:10" ht="126.95" customHeight="1" x14ac:dyDescent="0.25">
      <c r="A18" s="1">
        <v>17</v>
      </c>
      <c r="B18" s="1" t="s">
        <v>0</v>
      </c>
      <c r="C18" s="8" t="s">
        <v>21</v>
      </c>
      <c r="D18" s="1" t="s">
        <v>36</v>
      </c>
      <c r="E18" s="1">
        <v>3</v>
      </c>
      <c r="F18" s="1">
        <v>28</v>
      </c>
      <c r="G18" s="1" t="s">
        <v>1</v>
      </c>
      <c r="H18" s="10">
        <v>199.125</v>
      </c>
      <c r="I18" s="10">
        <f t="shared" si="0"/>
        <v>597.375</v>
      </c>
    </row>
    <row r="19" spans="1:10" ht="126.95" customHeight="1" x14ac:dyDescent="0.25">
      <c r="A19" s="1">
        <v>18</v>
      </c>
      <c r="B19" s="1" t="s">
        <v>0</v>
      </c>
      <c r="C19" s="8" t="s">
        <v>3</v>
      </c>
      <c r="D19" s="1" t="s">
        <v>36</v>
      </c>
      <c r="E19" s="1">
        <v>4</v>
      </c>
      <c r="F19" s="1">
        <v>10</v>
      </c>
      <c r="G19" s="1" t="s">
        <v>1</v>
      </c>
      <c r="H19" s="10">
        <v>267.25</v>
      </c>
      <c r="I19" s="10">
        <f t="shared" si="0"/>
        <v>1069</v>
      </c>
    </row>
    <row r="20" spans="1:10" ht="126.95" customHeight="1" x14ac:dyDescent="0.25">
      <c r="A20" s="1">
        <v>19</v>
      </c>
      <c r="B20" s="1" t="s">
        <v>0</v>
      </c>
      <c r="C20" s="8" t="s">
        <v>9</v>
      </c>
      <c r="D20" s="1" t="s">
        <v>36</v>
      </c>
      <c r="E20" s="1">
        <v>4</v>
      </c>
      <c r="F20" s="1">
        <v>28</v>
      </c>
      <c r="G20" s="1" t="s">
        <v>1</v>
      </c>
      <c r="H20" s="10">
        <v>267.25</v>
      </c>
      <c r="I20" s="10">
        <f t="shared" si="0"/>
        <v>1069</v>
      </c>
    </row>
    <row r="21" spans="1:10" ht="126.95" customHeight="1" x14ac:dyDescent="0.25">
      <c r="A21" s="1">
        <v>20</v>
      </c>
      <c r="B21" s="1" t="s">
        <v>0</v>
      </c>
      <c r="C21" s="8" t="s">
        <v>22</v>
      </c>
      <c r="D21" s="1" t="s">
        <v>36</v>
      </c>
      <c r="E21" s="1">
        <v>4</v>
      </c>
      <c r="F21" s="1">
        <v>8</v>
      </c>
      <c r="G21" s="1" t="s">
        <v>1</v>
      </c>
      <c r="H21" s="10">
        <v>267.25</v>
      </c>
      <c r="I21" s="10">
        <f t="shared" si="0"/>
        <v>1069</v>
      </c>
    </row>
    <row r="22" spans="1:10" ht="126.95" customHeight="1" x14ac:dyDescent="0.25">
      <c r="A22" s="1">
        <v>21</v>
      </c>
      <c r="B22" s="1" t="s">
        <v>0</v>
      </c>
      <c r="C22" s="8" t="s">
        <v>23</v>
      </c>
      <c r="D22" s="1" t="s">
        <v>36</v>
      </c>
      <c r="E22" s="1">
        <v>4</v>
      </c>
      <c r="F22" s="1">
        <v>56</v>
      </c>
      <c r="G22" s="1" t="s">
        <v>1</v>
      </c>
      <c r="H22" s="10">
        <v>267.25</v>
      </c>
      <c r="I22" s="10">
        <f t="shared" si="0"/>
        <v>1069</v>
      </c>
    </row>
    <row r="23" spans="1:10" ht="126.95" customHeight="1" x14ac:dyDescent="0.25">
      <c r="A23" s="1">
        <v>22</v>
      </c>
      <c r="B23" s="1" t="s">
        <v>0</v>
      </c>
      <c r="C23" s="8" t="s">
        <v>4</v>
      </c>
      <c r="D23" s="1" t="s">
        <v>36</v>
      </c>
      <c r="E23" s="1">
        <v>6</v>
      </c>
      <c r="F23" s="1">
        <v>16</v>
      </c>
      <c r="G23" s="1" t="s">
        <v>1</v>
      </c>
      <c r="H23" s="10">
        <v>369.22500000000002</v>
      </c>
      <c r="I23" s="10">
        <f t="shared" si="0"/>
        <v>2215.3500000000004</v>
      </c>
    </row>
    <row r="24" spans="1:10" ht="126.95" customHeight="1" x14ac:dyDescent="0.25">
      <c r="A24" s="1">
        <v>23</v>
      </c>
      <c r="B24" s="1" t="s">
        <v>0</v>
      </c>
      <c r="C24" s="8" t="s">
        <v>10</v>
      </c>
      <c r="D24" s="1" t="s">
        <v>36</v>
      </c>
      <c r="E24" s="1">
        <v>6</v>
      </c>
      <c r="F24" s="1">
        <v>26</v>
      </c>
      <c r="G24" s="1" t="s">
        <v>1</v>
      </c>
      <c r="H24" s="10">
        <v>369.22500000000002</v>
      </c>
      <c r="I24" s="10">
        <f t="shared" si="0"/>
        <v>2215.3500000000004</v>
      </c>
    </row>
    <row r="25" spans="1:10" ht="126.95" customHeight="1" x14ac:dyDescent="0.25">
      <c r="A25" s="1">
        <v>24</v>
      </c>
      <c r="B25" s="1" t="s">
        <v>0</v>
      </c>
      <c r="C25" s="8" t="s">
        <v>16</v>
      </c>
      <c r="D25" s="1" t="s">
        <v>36</v>
      </c>
      <c r="E25" s="1">
        <v>6</v>
      </c>
      <c r="F25" s="1">
        <v>8</v>
      </c>
      <c r="G25" s="1" t="s">
        <v>1</v>
      </c>
      <c r="H25" s="10">
        <v>563.21249999999998</v>
      </c>
      <c r="I25" s="10">
        <f t="shared" si="0"/>
        <v>3379.2749999999996</v>
      </c>
    </row>
    <row r="26" spans="1:10" ht="126.95" customHeight="1" x14ac:dyDescent="0.25">
      <c r="A26" s="1">
        <v>25</v>
      </c>
      <c r="B26" s="1" t="s">
        <v>0</v>
      </c>
      <c r="C26" s="8" t="s">
        <v>10</v>
      </c>
      <c r="D26" s="1" t="s">
        <v>36</v>
      </c>
      <c r="E26" s="1">
        <v>6</v>
      </c>
      <c r="F26" s="1">
        <v>2</v>
      </c>
      <c r="G26" s="1" t="s">
        <v>1</v>
      </c>
      <c r="H26" s="10">
        <v>369.22500000000002</v>
      </c>
      <c r="I26" s="10">
        <f t="shared" si="0"/>
        <v>2215.3500000000004</v>
      </c>
    </row>
    <row r="27" spans="1:10" ht="126.95" customHeight="1" x14ac:dyDescent="0.25">
      <c r="A27" s="1">
        <v>26</v>
      </c>
      <c r="B27" s="1" t="s">
        <v>0</v>
      </c>
      <c r="C27" s="8" t="s">
        <v>11</v>
      </c>
      <c r="D27" s="1" t="s">
        <v>36</v>
      </c>
      <c r="E27" s="1">
        <v>8</v>
      </c>
      <c r="F27" s="1">
        <v>8</v>
      </c>
      <c r="G27" s="1" t="s">
        <v>1</v>
      </c>
      <c r="H27" s="10">
        <v>394.20000000000005</v>
      </c>
      <c r="I27" s="10">
        <f t="shared" si="0"/>
        <v>3153.6000000000004</v>
      </c>
    </row>
    <row r="28" spans="1:10" ht="126.95" customHeight="1" x14ac:dyDescent="0.25">
      <c r="A28" s="1">
        <v>27</v>
      </c>
      <c r="B28" s="1" t="s">
        <v>0</v>
      </c>
      <c r="C28" s="8" t="s">
        <v>5</v>
      </c>
      <c r="D28" s="1" t="s">
        <v>36</v>
      </c>
      <c r="E28" s="1">
        <v>10</v>
      </c>
      <c r="F28" s="1">
        <v>4</v>
      </c>
      <c r="G28" s="1" t="s">
        <v>1</v>
      </c>
      <c r="H28" s="10">
        <v>506.2</v>
      </c>
      <c r="I28" s="10">
        <f t="shared" si="0"/>
        <v>5062</v>
      </c>
    </row>
    <row r="29" spans="1:10" ht="126.95" customHeight="1" x14ac:dyDescent="0.25">
      <c r="A29" s="1">
        <v>28</v>
      </c>
      <c r="B29" s="1" t="s">
        <v>0</v>
      </c>
      <c r="C29" s="8" t="s">
        <v>19</v>
      </c>
      <c r="D29" s="1" t="s">
        <v>36</v>
      </c>
      <c r="E29" s="1">
        <v>10</v>
      </c>
      <c r="F29" s="1">
        <v>6</v>
      </c>
      <c r="G29" s="1" t="s">
        <v>1</v>
      </c>
      <c r="H29" s="10">
        <v>506.2</v>
      </c>
      <c r="I29" s="10">
        <f t="shared" si="0"/>
        <v>5062</v>
      </c>
    </row>
    <row r="30" spans="1:10" ht="126.95" customHeight="1" x14ac:dyDescent="0.25">
      <c r="A30" s="1">
        <v>29</v>
      </c>
      <c r="B30" s="1" t="s">
        <v>0</v>
      </c>
      <c r="C30" s="8" t="s">
        <v>6</v>
      </c>
      <c r="D30" s="1" t="s">
        <v>36</v>
      </c>
      <c r="E30" s="1">
        <v>14</v>
      </c>
      <c r="F30" s="1">
        <v>4</v>
      </c>
      <c r="G30" s="1" t="s">
        <v>1</v>
      </c>
      <c r="H30" s="10">
        <v>778.05000000000007</v>
      </c>
      <c r="I30" s="10">
        <f t="shared" si="0"/>
        <v>10892.7</v>
      </c>
    </row>
    <row r="31" spans="1:10" ht="126.95" customHeight="1" x14ac:dyDescent="0.25">
      <c r="A31" s="1">
        <v>30</v>
      </c>
      <c r="B31" s="1" t="s">
        <v>0</v>
      </c>
      <c r="C31" s="8" t="s">
        <v>12</v>
      </c>
      <c r="D31" s="1" t="s">
        <v>36</v>
      </c>
      <c r="E31" s="1">
        <v>14</v>
      </c>
      <c r="F31" s="1">
        <v>4</v>
      </c>
      <c r="G31" s="1" t="s">
        <v>1</v>
      </c>
      <c r="H31" s="10">
        <v>778.05000000000007</v>
      </c>
      <c r="I31" s="10">
        <f t="shared" si="0"/>
        <v>10892.7</v>
      </c>
    </row>
    <row r="32" spans="1:10" ht="126.95" customHeight="1" x14ac:dyDescent="0.25">
      <c r="A32" s="1">
        <v>31</v>
      </c>
      <c r="B32" s="1" t="s">
        <v>0</v>
      </c>
      <c r="C32" s="8" t="s">
        <v>28</v>
      </c>
      <c r="D32" s="1" t="s">
        <v>38</v>
      </c>
      <c r="E32" s="1">
        <v>2</v>
      </c>
      <c r="F32" s="1">
        <v>2</v>
      </c>
      <c r="G32" s="1" t="s">
        <v>1</v>
      </c>
      <c r="H32" s="10">
        <v>116</v>
      </c>
      <c r="I32" s="10">
        <f t="shared" si="0"/>
        <v>232</v>
      </c>
    </row>
    <row r="33" spans="1:9" ht="126.95" customHeight="1" x14ac:dyDescent="0.25">
      <c r="A33" s="1">
        <v>32</v>
      </c>
      <c r="B33" s="1" t="s">
        <v>0</v>
      </c>
      <c r="C33" s="8" t="s">
        <v>29</v>
      </c>
      <c r="D33" s="1" t="s">
        <v>38</v>
      </c>
      <c r="E33" s="1">
        <v>3</v>
      </c>
      <c r="F33" s="1">
        <v>34</v>
      </c>
      <c r="G33" s="1" t="s">
        <v>1</v>
      </c>
      <c r="H33" s="10">
        <v>199.125</v>
      </c>
      <c r="I33" s="10">
        <f t="shared" si="0"/>
        <v>597.375</v>
      </c>
    </row>
    <row r="34" spans="1:9" ht="126.95" customHeight="1" x14ac:dyDescent="0.25">
      <c r="A34" s="1">
        <v>33</v>
      </c>
      <c r="B34" s="1" t="s">
        <v>0</v>
      </c>
      <c r="C34" s="8" t="s">
        <v>24</v>
      </c>
      <c r="D34" s="1" t="s">
        <v>38</v>
      </c>
      <c r="E34" s="1">
        <v>6</v>
      </c>
      <c r="F34" s="1">
        <v>8</v>
      </c>
      <c r="G34" s="1" t="s">
        <v>1</v>
      </c>
      <c r="H34" s="10">
        <v>369.22500000000002</v>
      </c>
      <c r="I34" s="10">
        <f t="shared" si="0"/>
        <v>2215.3500000000004</v>
      </c>
    </row>
    <row r="35" spans="1:9" ht="126.95" customHeight="1" x14ac:dyDescent="0.25">
      <c r="A35" s="1">
        <v>34</v>
      </c>
      <c r="B35" s="1" t="s">
        <v>0</v>
      </c>
      <c r="C35" s="8" t="s">
        <v>25</v>
      </c>
      <c r="D35" s="1" t="s">
        <v>38</v>
      </c>
      <c r="E35" s="1">
        <v>8</v>
      </c>
      <c r="F35" s="1">
        <v>20</v>
      </c>
      <c r="G35" s="1" t="s">
        <v>1</v>
      </c>
      <c r="H35" s="10">
        <v>394.20000000000005</v>
      </c>
      <c r="I35" s="10">
        <f t="shared" si="0"/>
        <v>3153.6000000000004</v>
      </c>
    </row>
    <row r="36" spans="1:9" ht="126.95" customHeight="1" x14ac:dyDescent="0.25">
      <c r="A36" s="1">
        <v>35</v>
      </c>
      <c r="B36" s="1" t="s">
        <v>0</v>
      </c>
      <c r="C36" s="8" t="s">
        <v>26</v>
      </c>
      <c r="D36" s="1" t="s">
        <v>38</v>
      </c>
      <c r="E36" s="1">
        <v>10</v>
      </c>
      <c r="F36" s="1">
        <v>8</v>
      </c>
      <c r="G36" s="1" t="s">
        <v>1</v>
      </c>
      <c r="H36" s="10">
        <v>506.2</v>
      </c>
      <c r="I36" s="10">
        <f t="shared" si="0"/>
        <v>5062</v>
      </c>
    </row>
    <row r="37" spans="1:9" s="12" customFormat="1" ht="39.950000000000003" customHeight="1" x14ac:dyDescent="0.25">
      <c r="C37" s="13"/>
      <c r="D37" s="13"/>
      <c r="H37" s="14"/>
      <c r="I37" s="15">
        <f>SUM(I2:I36)</f>
        <v>90620.262708773793</v>
      </c>
    </row>
  </sheetData>
  <sortState ref="A2:G36">
    <sortCondition ref="D2:D36"/>
    <sortCondition ref="E2:E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PurchaseRequisitionLines 260418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Naveen</dc:creator>
  <cp:lastModifiedBy>Goodrich Estimation</cp:lastModifiedBy>
  <dcterms:created xsi:type="dcterms:W3CDTF">2026-04-18T07:14:32Z</dcterms:created>
  <dcterms:modified xsi:type="dcterms:W3CDTF">2026-04-20T10:40:56Z</dcterms:modified>
</cp:coreProperties>
</file>
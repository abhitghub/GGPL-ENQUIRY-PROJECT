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9D67582-A926-4EA2-9D3C-62EF27C54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H31" i="1"/>
  <c r="L31" i="1"/>
  <c r="L30" i="1"/>
  <c r="H30" i="1"/>
  <c r="L29" i="1"/>
  <c r="H29" i="1"/>
  <c r="L28" i="1"/>
  <c r="H28" i="1"/>
  <c r="I41" i="1"/>
  <c r="L27" i="1"/>
  <c r="L26" i="1"/>
  <c r="L25" i="1"/>
  <c r="L24" i="1"/>
  <c r="H26" i="1"/>
  <c r="H27" i="1"/>
  <c r="H25" i="1"/>
  <c r="H24" i="1"/>
  <c r="I40" i="1"/>
  <c r="L23" i="1"/>
  <c r="H23" i="1"/>
  <c r="L22" i="1"/>
  <c r="H22" i="1"/>
  <c r="L21" i="1"/>
  <c r="H21" i="1"/>
  <c r="L20" i="1"/>
  <c r="H20" i="1"/>
  <c r="I39" i="1"/>
  <c r="I38" i="1"/>
  <c r="L19" i="1"/>
  <c r="H19" i="1"/>
  <c r="L18" i="1"/>
  <c r="H18" i="1"/>
  <c r="L17" i="1"/>
  <c r="H17" i="1"/>
  <c r="L16" i="1"/>
  <c r="H16" i="1"/>
  <c r="I37" i="1"/>
  <c r="L15" i="1"/>
  <c r="H15" i="1"/>
  <c r="L14" i="1"/>
  <c r="H14" i="1"/>
  <c r="L13" i="1"/>
  <c r="H13" i="1"/>
  <c r="L12" i="1"/>
  <c r="H12" i="1"/>
  <c r="I36" i="1"/>
  <c r="L11" i="1"/>
  <c r="H11" i="1"/>
  <c r="L10" i="1"/>
  <c r="H10" i="1"/>
  <c r="H9" i="1"/>
  <c r="L9" i="1"/>
  <c r="L8" i="1"/>
  <c r="H8" i="1"/>
  <c r="I35" i="1"/>
  <c r="L7" i="1"/>
  <c r="L6" i="1"/>
  <c r="L5" i="1"/>
  <c r="H5" i="1"/>
  <c r="L4" i="1"/>
  <c r="H4" i="1"/>
  <c r="H6" i="1" l="1"/>
  <c r="H7" i="1" l="1"/>
</calcChain>
</file>

<file path=xl/sharedStrings.xml><?xml version="1.0" encoding="utf-8"?>
<sst xmlns="http://schemas.openxmlformats.org/spreadsheetml/2006/main" count="120" uniqueCount="39">
  <si>
    <t>Sr. no.</t>
  </si>
  <si>
    <t>Description</t>
  </si>
  <si>
    <t>MOC</t>
  </si>
  <si>
    <t>Gasket OD
(mm)</t>
  </si>
  <si>
    <t>Gasket ID
(mm)</t>
  </si>
  <si>
    <t>Qty.
(Nos.)</t>
  </si>
  <si>
    <t xml:space="preserve">NPS </t>
  </si>
  <si>
    <t xml:space="preserve">CLASS /RATING </t>
  </si>
  <si>
    <t>300 #</t>
  </si>
  <si>
    <t xml:space="preserve">REMARKS </t>
  </si>
  <si>
    <t>ASME 16.20</t>
  </si>
  <si>
    <t xml:space="preserve">Note : </t>
  </si>
  <si>
    <t>Material Certification EN10204 Type 3.1.</t>
  </si>
  <si>
    <t>Inner ring Width</t>
  </si>
  <si>
    <t xml:space="preserve">Partition Rib 10 mm width as applicable </t>
  </si>
  <si>
    <t>Tag No</t>
  </si>
  <si>
    <t>B</t>
  </si>
  <si>
    <t>Tag. No.</t>
  </si>
  <si>
    <t>Qty</t>
  </si>
  <si>
    <t>2"</t>
  </si>
  <si>
    <t xml:space="preserve">EIL Type </t>
  </si>
  <si>
    <t>16"</t>
  </si>
  <si>
    <t>Non-Std Gasket</t>
  </si>
  <si>
    <t>Thickness
(mm)</t>
  </si>
  <si>
    <t>Standard Gasket</t>
  </si>
  <si>
    <t xml:space="preserve">GASKET Ch FL- T/S  </t>
  </si>
  <si>
    <t xml:space="preserve">GASKET SH FL- T/S  </t>
  </si>
  <si>
    <t>GASKET SH FL -B FL</t>
  </si>
  <si>
    <t>GASKET SH FL -FH -T/S</t>
  </si>
  <si>
    <t>GASKET (H)</t>
  </si>
  <si>
    <t>18"</t>
  </si>
  <si>
    <t>Rev.0</t>
  </si>
  <si>
    <t>SS 317L SPWD gasket for Girth flanges with grafoil filler and SS inner and outer centering ring.</t>
  </si>
  <si>
    <t>Outer / Center Ring  Width</t>
  </si>
  <si>
    <t>600 #</t>
  </si>
  <si>
    <t>Not applicable</t>
  </si>
  <si>
    <t>SS 317L SPWD for Nozzles shall be 4.5 thk with grafoil filler and 3.2 thk SS inner &amp; outer ring, dimension as per ASME B 16.20.</t>
  </si>
  <si>
    <t xml:space="preserve">GASKET (S+H) </t>
  </si>
  <si>
    <t xml:space="preserve">EP-260408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</si>
</sst>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  <charset val="13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5" fillId="0" borderId="0">
      <alignment vertical="center"/>
    </xf>
    <xf numFmtId="43" fontId="4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5" fillId="0" borderId="0" xfId="2">
      <alignment vertical="center"/>
    </xf>
    <xf numFmtId="0" fontId="7" fillId="0" borderId="0" xfId="2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16" xfId="2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</cellXfs>
  <cellStyles count="4">
    <cellStyle name="Comma 25 2" xfId="3" xr:uid="{40DE5626-F63E-4230-A7C7-682DBDABD7BB}"/>
    <cellStyle name="Normal" xfId="0" builtinId="0"/>
    <cellStyle name="Normal 4 3" xfId="1" xr:uid="{00898F56-D4AB-4AB4-9323-A84BD499B190}"/>
    <cellStyle name="Normal_EP_100546_R1 2 2 2 2 2" xfId="2" xr:uid="{EF4DD116-0036-403E-8DFF-032D4225AD5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5"/>
  <sheetViews>
    <sheetView tabSelected="1" workbookViewId="0">
      <selection activeCell="C45" sqref="C45"/>
    </sheetView>
  </sheetViews>
  <sheetFormatPr defaultRowHeight="15"/>
  <cols>
    <col min="2" max="2" width="7.7109375" customWidth="1"/>
    <col min="3" max="3" width="20.140625" bestFit="1" customWidth="1"/>
    <col min="4" max="4" width="23.7109375" customWidth="1"/>
    <col min="5" max="5" width="30.5703125" customWidth="1"/>
    <col min="6" max="6" width="20.42578125" customWidth="1"/>
    <col min="7" max="7" width="15.28515625" customWidth="1"/>
    <col min="8" max="10" width="15" customWidth="1"/>
    <col min="11" max="12" width="10.28515625" customWidth="1"/>
    <col min="13" max="13" width="11.5703125" customWidth="1"/>
    <col min="14" max="14" width="21.28515625" customWidth="1"/>
  </cols>
  <sheetData>
    <row r="1" spans="2:13">
      <c r="B1" s="15" t="s">
        <v>38</v>
      </c>
      <c r="C1" s="16"/>
      <c r="D1" s="16" t="s">
        <v>31</v>
      </c>
      <c r="E1" s="16"/>
      <c r="F1" s="16"/>
      <c r="G1" s="16"/>
      <c r="H1" s="16"/>
      <c r="I1" s="16"/>
      <c r="J1" s="16"/>
      <c r="K1" s="16"/>
      <c r="L1" s="16"/>
      <c r="M1" s="17"/>
    </row>
    <row r="2" spans="2:13" ht="18.75">
      <c r="B2" s="34" t="s">
        <v>22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2:13" ht="60">
      <c r="B3" s="18" t="s">
        <v>0</v>
      </c>
      <c r="C3" s="1" t="s">
        <v>15</v>
      </c>
      <c r="D3" s="1" t="s">
        <v>1</v>
      </c>
      <c r="E3" s="1" t="s">
        <v>2</v>
      </c>
      <c r="F3" s="1" t="s">
        <v>20</v>
      </c>
      <c r="G3" s="2" t="s">
        <v>3</v>
      </c>
      <c r="H3" s="2" t="s">
        <v>4</v>
      </c>
      <c r="I3" s="2" t="s">
        <v>23</v>
      </c>
      <c r="J3" s="2" t="s">
        <v>13</v>
      </c>
      <c r="K3" s="2" t="s">
        <v>33</v>
      </c>
      <c r="L3" s="2" t="s">
        <v>5</v>
      </c>
      <c r="M3" s="19"/>
    </row>
    <row r="4" spans="2:13" ht="45" customHeight="1">
      <c r="B4" s="20">
        <v>1</v>
      </c>
      <c r="C4" s="3">
        <v>7</v>
      </c>
      <c r="D4" s="3" t="s">
        <v>25</v>
      </c>
      <c r="E4" s="37" t="s">
        <v>32</v>
      </c>
      <c r="F4" s="3">
        <v>2</v>
      </c>
      <c r="G4" s="3">
        <v>1489</v>
      </c>
      <c r="H4" s="3">
        <f>G4-2*18</f>
        <v>1453</v>
      </c>
      <c r="I4" s="11">
        <v>6.35</v>
      </c>
      <c r="J4" s="3">
        <v>13</v>
      </c>
      <c r="K4" s="3">
        <v>4</v>
      </c>
      <c r="L4" s="3">
        <f>2*2</f>
        <v>4</v>
      </c>
      <c r="M4" s="32" t="s">
        <v>14</v>
      </c>
    </row>
    <row r="5" spans="2:13" ht="45" customHeight="1">
      <c r="B5" s="20">
        <v>3</v>
      </c>
      <c r="C5" s="3">
        <v>7</v>
      </c>
      <c r="D5" s="3" t="s">
        <v>26</v>
      </c>
      <c r="E5" s="38"/>
      <c r="F5" s="3">
        <v>1</v>
      </c>
      <c r="G5" s="3">
        <v>1489</v>
      </c>
      <c r="H5" s="3">
        <f>G5-2*18</f>
        <v>1453</v>
      </c>
      <c r="I5" s="11">
        <v>6.35</v>
      </c>
      <c r="J5" s="3">
        <v>13</v>
      </c>
      <c r="K5" s="3">
        <v>4</v>
      </c>
      <c r="L5" s="3">
        <f>2*2</f>
        <v>4</v>
      </c>
      <c r="M5" s="33"/>
    </row>
    <row r="6" spans="2:13" ht="45" customHeight="1">
      <c r="B6" s="20">
        <v>4</v>
      </c>
      <c r="C6" s="3">
        <v>7</v>
      </c>
      <c r="D6" s="3" t="s">
        <v>27</v>
      </c>
      <c r="E6" s="38"/>
      <c r="F6" s="3">
        <v>1</v>
      </c>
      <c r="G6" s="3">
        <v>1711</v>
      </c>
      <c r="H6" s="3">
        <f>G6-2*16</f>
        <v>1679</v>
      </c>
      <c r="I6" s="11">
        <v>6.35</v>
      </c>
      <c r="J6" s="3">
        <v>13</v>
      </c>
      <c r="K6" s="3">
        <v>4</v>
      </c>
      <c r="L6" s="3">
        <f>2*2</f>
        <v>4</v>
      </c>
      <c r="M6" s="33"/>
    </row>
    <row r="7" spans="2:13" ht="45" customHeight="1">
      <c r="B7" s="20">
        <v>5</v>
      </c>
      <c r="C7" s="3">
        <v>7</v>
      </c>
      <c r="D7" s="3" t="s">
        <v>28</v>
      </c>
      <c r="E7" s="39"/>
      <c r="F7" s="3">
        <v>1</v>
      </c>
      <c r="G7" s="3">
        <v>1335</v>
      </c>
      <c r="H7" s="3">
        <f>G7-2*19</f>
        <v>1297</v>
      </c>
      <c r="I7" s="11">
        <v>6.35</v>
      </c>
      <c r="J7" s="3">
        <v>13</v>
      </c>
      <c r="K7" s="6" t="s">
        <v>35</v>
      </c>
      <c r="L7" s="3">
        <f>2*2</f>
        <v>4</v>
      </c>
      <c r="M7" s="33"/>
    </row>
    <row r="8" spans="2:13" ht="45" customHeight="1">
      <c r="B8" s="20">
        <v>7</v>
      </c>
      <c r="C8" s="3">
        <v>8</v>
      </c>
      <c r="D8" s="3" t="s">
        <v>25</v>
      </c>
      <c r="E8" s="37" t="s">
        <v>32</v>
      </c>
      <c r="F8" s="3">
        <v>2</v>
      </c>
      <c r="G8" s="3">
        <v>1532</v>
      </c>
      <c r="H8" s="3">
        <f>G8-2*18</f>
        <v>1496</v>
      </c>
      <c r="I8" s="11">
        <v>6.35</v>
      </c>
      <c r="J8" s="3">
        <v>13</v>
      </c>
      <c r="K8" s="3">
        <v>4</v>
      </c>
      <c r="L8" s="3">
        <f>2*4</f>
        <v>8</v>
      </c>
      <c r="M8" s="33"/>
    </row>
    <row r="9" spans="2:13" ht="45" customHeight="1">
      <c r="B9" s="20">
        <v>8</v>
      </c>
      <c r="C9" s="3">
        <v>8</v>
      </c>
      <c r="D9" s="3" t="s">
        <v>26</v>
      </c>
      <c r="E9" s="38"/>
      <c r="F9" s="3">
        <v>1</v>
      </c>
      <c r="G9" s="3">
        <v>1532</v>
      </c>
      <c r="H9" s="3">
        <f>G9-2*18</f>
        <v>1496</v>
      </c>
      <c r="I9" s="11">
        <v>6.35</v>
      </c>
      <c r="J9" s="3">
        <v>13</v>
      </c>
      <c r="K9" s="3">
        <v>4</v>
      </c>
      <c r="L9" s="3">
        <f>2*4</f>
        <v>8</v>
      </c>
      <c r="M9" s="33"/>
    </row>
    <row r="10" spans="2:13" ht="45" customHeight="1">
      <c r="B10" s="20">
        <v>9</v>
      </c>
      <c r="C10" s="3">
        <v>8</v>
      </c>
      <c r="D10" s="3" t="s">
        <v>27</v>
      </c>
      <c r="E10" s="38"/>
      <c r="F10" s="3">
        <v>1</v>
      </c>
      <c r="G10" s="3">
        <v>1715</v>
      </c>
      <c r="H10" s="3">
        <f>G10-2*18</f>
        <v>1679</v>
      </c>
      <c r="I10" s="11">
        <v>6.35</v>
      </c>
      <c r="J10" s="3">
        <v>13</v>
      </c>
      <c r="K10" s="3">
        <v>4</v>
      </c>
      <c r="L10" s="3">
        <f>2*4</f>
        <v>8</v>
      </c>
      <c r="M10" s="33"/>
    </row>
    <row r="11" spans="2:13" ht="45" customHeight="1">
      <c r="B11" s="20">
        <v>10</v>
      </c>
      <c r="C11" s="3">
        <v>8</v>
      </c>
      <c r="D11" s="3" t="s">
        <v>28</v>
      </c>
      <c r="E11" s="39"/>
      <c r="F11" s="3">
        <v>1</v>
      </c>
      <c r="G11" s="3">
        <v>1361</v>
      </c>
      <c r="H11" s="3">
        <f>G11-2*18</f>
        <v>1325</v>
      </c>
      <c r="I11" s="11">
        <v>6.35</v>
      </c>
      <c r="J11" s="3">
        <v>13</v>
      </c>
      <c r="K11" s="6" t="s">
        <v>35</v>
      </c>
      <c r="L11" s="3">
        <f>2*4</f>
        <v>8</v>
      </c>
      <c r="M11" s="33"/>
    </row>
    <row r="12" spans="2:13" ht="45" customHeight="1">
      <c r="B12" s="20">
        <v>12</v>
      </c>
      <c r="C12" s="3">
        <v>9</v>
      </c>
      <c r="D12" s="3" t="s">
        <v>25</v>
      </c>
      <c r="E12" s="37" t="s">
        <v>32</v>
      </c>
      <c r="F12" s="3">
        <v>2</v>
      </c>
      <c r="G12" s="3">
        <v>1480</v>
      </c>
      <c r="H12" s="3">
        <f>G12-2*16</f>
        <v>1448</v>
      </c>
      <c r="I12" s="11">
        <v>6.35</v>
      </c>
      <c r="J12" s="3">
        <v>13</v>
      </c>
      <c r="K12" s="3">
        <v>4</v>
      </c>
      <c r="L12" s="3">
        <f>2*8</f>
        <v>16</v>
      </c>
      <c r="M12" s="33"/>
    </row>
    <row r="13" spans="2:13" ht="45" customHeight="1">
      <c r="B13" s="20">
        <v>13</v>
      </c>
      <c r="C13" s="3">
        <v>9</v>
      </c>
      <c r="D13" s="3" t="s">
        <v>26</v>
      </c>
      <c r="E13" s="38"/>
      <c r="F13" s="3">
        <v>1</v>
      </c>
      <c r="G13" s="3">
        <v>1480</v>
      </c>
      <c r="H13" s="3">
        <f>G13-2*16</f>
        <v>1448</v>
      </c>
      <c r="I13" s="11">
        <v>6.35</v>
      </c>
      <c r="J13" s="3">
        <v>13</v>
      </c>
      <c r="K13" s="3">
        <v>4</v>
      </c>
      <c r="L13" s="3">
        <f>2*8</f>
        <v>16</v>
      </c>
      <c r="M13" s="33"/>
    </row>
    <row r="14" spans="2:13" ht="45" customHeight="1">
      <c r="B14" s="20">
        <v>14</v>
      </c>
      <c r="C14" s="3">
        <v>9</v>
      </c>
      <c r="D14" s="3" t="s">
        <v>27</v>
      </c>
      <c r="E14" s="38"/>
      <c r="F14" s="3">
        <v>1</v>
      </c>
      <c r="G14" s="3">
        <v>1651</v>
      </c>
      <c r="H14" s="3">
        <f>G14-2*16</f>
        <v>1619</v>
      </c>
      <c r="I14" s="11">
        <v>6.35</v>
      </c>
      <c r="J14" s="3">
        <v>13</v>
      </c>
      <c r="K14" s="3">
        <v>4</v>
      </c>
      <c r="L14" s="3">
        <f>2*8</f>
        <v>16</v>
      </c>
      <c r="M14" s="33"/>
    </row>
    <row r="15" spans="2:13" ht="45" customHeight="1">
      <c r="B15" s="20">
        <v>15</v>
      </c>
      <c r="C15" s="3">
        <v>9</v>
      </c>
      <c r="D15" s="3" t="s">
        <v>28</v>
      </c>
      <c r="E15" s="39"/>
      <c r="F15" s="3">
        <v>1</v>
      </c>
      <c r="G15" s="3">
        <v>1323</v>
      </c>
      <c r="H15" s="3">
        <f>G15-2*13</f>
        <v>1297</v>
      </c>
      <c r="I15" s="11">
        <v>6.35</v>
      </c>
      <c r="J15" s="3">
        <v>13</v>
      </c>
      <c r="K15" s="6" t="s">
        <v>35</v>
      </c>
      <c r="L15" s="3">
        <f>2*8</f>
        <v>16</v>
      </c>
      <c r="M15" s="33"/>
    </row>
    <row r="16" spans="2:13" ht="45">
      <c r="B16" s="20">
        <v>17</v>
      </c>
      <c r="C16" s="3">
        <v>10</v>
      </c>
      <c r="D16" s="3" t="s">
        <v>25</v>
      </c>
      <c r="E16" s="4" t="s">
        <v>32</v>
      </c>
      <c r="F16" s="3">
        <v>2</v>
      </c>
      <c r="G16" s="3">
        <v>1524</v>
      </c>
      <c r="H16" s="3">
        <f>G16-2*18</f>
        <v>1488</v>
      </c>
      <c r="I16" s="11">
        <v>6.35</v>
      </c>
      <c r="J16" s="3">
        <v>13</v>
      </c>
      <c r="K16" s="3">
        <v>4</v>
      </c>
      <c r="L16" s="3">
        <f>2*4</f>
        <v>8</v>
      </c>
      <c r="M16" s="33"/>
    </row>
    <row r="17" spans="2:13" ht="45">
      <c r="B17" s="20">
        <v>18</v>
      </c>
      <c r="C17" s="3">
        <v>10</v>
      </c>
      <c r="D17" s="3" t="s">
        <v>26</v>
      </c>
      <c r="E17" s="4" t="s">
        <v>32</v>
      </c>
      <c r="F17" s="3">
        <v>1</v>
      </c>
      <c r="G17" s="3">
        <v>1524</v>
      </c>
      <c r="H17" s="3">
        <f>G17-2*18</f>
        <v>1488</v>
      </c>
      <c r="I17" s="11">
        <v>6.35</v>
      </c>
      <c r="J17" s="3">
        <v>13</v>
      </c>
      <c r="K17" s="3">
        <v>4</v>
      </c>
      <c r="L17" s="3">
        <f>2*4</f>
        <v>8</v>
      </c>
      <c r="M17" s="33"/>
    </row>
    <row r="18" spans="2:13" ht="45">
      <c r="B18" s="20">
        <v>19</v>
      </c>
      <c r="C18" s="3">
        <v>10</v>
      </c>
      <c r="D18" s="3" t="s">
        <v>27</v>
      </c>
      <c r="E18" s="4" t="s">
        <v>32</v>
      </c>
      <c r="F18" s="3">
        <v>1</v>
      </c>
      <c r="G18" s="3">
        <v>1647</v>
      </c>
      <c r="H18" s="3">
        <f>G18-2*16</f>
        <v>1615</v>
      </c>
      <c r="I18" s="11">
        <v>6.35</v>
      </c>
      <c r="J18" s="3">
        <v>13</v>
      </c>
      <c r="K18" s="3">
        <v>4</v>
      </c>
      <c r="L18" s="3">
        <f>2*4</f>
        <v>8</v>
      </c>
      <c r="M18" s="33"/>
    </row>
    <row r="19" spans="2:13" ht="45">
      <c r="B19" s="20">
        <v>20</v>
      </c>
      <c r="C19" s="3">
        <v>10</v>
      </c>
      <c r="D19" s="3" t="s">
        <v>28</v>
      </c>
      <c r="E19" s="4" t="s">
        <v>32</v>
      </c>
      <c r="F19" s="3">
        <v>1</v>
      </c>
      <c r="G19" s="3">
        <v>1357</v>
      </c>
      <c r="H19" s="3">
        <f>G19-2*16</f>
        <v>1325</v>
      </c>
      <c r="I19" s="11">
        <v>6.35</v>
      </c>
      <c r="J19" s="3">
        <v>13</v>
      </c>
      <c r="K19" s="6" t="s">
        <v>35</v>
      </c>
      <c r="L19" s="3">
        <f>2*4</f>
        <v>8</v>
      </c>
      <c r="M19" s="33"/>
    </row>
    <row r="20" spans="2:13" ht="45">
      <c r="B20" s="20">
        <v>22</v>
      </c>
      <c r="C20" s="3">
        <v>11</v>
      </c>
      <c r="D20" s="3" t="s">
        <v>25</v>
      </c>
      <c r="E20" s="4" t="s">
        <v>32</v>
      </c>
      <c r="F20" s="3">
        <v>2</v>
      </c>
      <c r="G20" s="3">
        <v>1455</v>
      </c>
      <c r="H20" s="3">
        <f>G20-2*16</f>
        <v>1423</v>
      </c>
      <c r="I20" s="11">
        <v>6.35</v>
      </c>
      <c r="J20" s="3">
        <v>13</v>
      </c>
      <c r="K20" s="3">
        <v>4</v>
      </c>
      <c r="L20" s="3">
        <f>2*2</f>
        <v>4</v>
      </c>
      <c r="M20" s="33"/>
    </row>
    <row r="21" spans="2:13" ht="45">
      <c r="B21" s="20">
        <v>23</v>
      </c>
      <c r="C21" s="3">
        <v>11</v>
      </c>
      <c r="D21" s="3" t="s">
        <v>26</v>
      </c>
      <c r="E21" s="4" t="s">
        <v>32</v>
      </c>
      <c r="F21" s="3">
        <v>1</v>
      </c>
      <c r="G21" s="3">
        <v>1455</v>
      </c>
      <c r="H21" s="3">
        <f>G21-2*16</f>
        <v>1423</v>
      </c>
      <c r="I21" s="11">
        <v>6.35</v>
      </c>
      <c r="J21" s="3">
        <v>13</v>
      </c>
      <c r="K21" s="3">
        <v>4</v>
      </c>
      <c r="L21" s="3">
        <f>2*2</f>
        <v>4</v>
      </c>
      <c r="M21" s="33"/>
    </row>
    <row r="22" spans="2:13" ht="45">
      <c r="B22" s="20">
        <v>24</v>
      </c>
      <c r="C22" s="3">
        <v>11</v>
      </c>
      <c r="D22" s="3" t="s">
        <v>27</v>
      </c>
      <c r="E22" s="4" t="s">
        <v>32</v>
      </c>
      <c r="F22" s="3">
        <v>1</v>
      </c>
      <c r="G22" s="3">
        <v>1619</v>
      </c>
      <c r="H22" s="3">
        <f>G22-2*13</f>
        <v>1593</v>
      </c>
      <c r="I22" s="11">
        <v>6.35</v>
      </c>
      <c r="J22" s="3">
        <v>13</v>
      </c>
      <c r="K22" s="3">
        <v>4</v>
      </c>
      <c r="L22" s="3">
        <f>2*2</f>
        <v>4</v>
      </c>
      <c r="M22" s="33"/>
    </row>
    <row r="23" spans="2:13" ht="45">
      <c r="B23" s="20">
        <v>25</v>
      </c>
      <c r="C23" s="3">
        <v>11</v>
      </c>
      <c r="D23" s="3" t="s">
        <v>28</v>
      </c>
      <c r="E23" s="4" t="s">
        <v>32</v>
      </c>
      <c r="F23" s="3">
        <v>1</v>
      </c>
      <c r="G23" s="3">
        <v>1308</v>
      </c>
      <c r="H23" s="3">
        <f>G23-2*13</f>
        <v>1282</v>
      </c>
      <c r="I23" s="11">
        <v>6.35</v>
      </c>
      <c r="J23" s="3">
        <v>13</v>
      </c>
      <c r="K23" s="6" t="s">
        <v>35</v>
      </c>
      <c r="L23" s="3">
        <f>2*2</f>
        <v>4</v>
      </c>
      <c r="M23" s="33"/>
    </row>
    <row r="24" spans="2:13" ht="45">
      <c r="B24" s="20">
        <v>22</v>
      </c>
      <c r="C24" s="3">
        <v>12</v>
      </c>
      <c r="D24" s="3" t="s">
        <v>25</v>
      </c>
      <c r="E24" s="4" t="s">
        <v>32</v>
      </c>
      <c r="F24" s="3">
        <v>2</v>
      </c>
      <c r="G24" s="3">
        <v>1507</v>
      </c>
      <c r="H24" s="3">
        <f>G24-2*16</f>
        <v>1475</v>
      </c>
      <c r="I24" s="11">
        <v>6.35</v>
      </c>
      <c r="J24" s="3">
        <v>13</v>
      </c>
      <c r="K24" s="3">
        <v>4</v>
      </c>
      <c r="L24" s="3">
        <f>2*8</f>
        <v>16</v>
      </c>
      <c r="M24" s="22"/>
    </row>
    <row r="25" spans="2:13" ht="45">
      <c r="B25" s="20">
        <v>23</v>
      </c>
      <c r="C25" s="3">
        <v>12</v>
      </c>
      <c r="D25" s="3" t="s">
        <v>26</v>
      </c>
      <c r="E25" s="4" t="s">
        <v>32</v>
      </c>
      <c r="F25" s="3">
        <v>1</v>
      </c>
      <c r="G25" s="3">
        <v>1507</v>
      </c>
      <c r="H25" s="3">
        <f>G25-2*16</f>
        <v>1475</v>
      </c>
      <c r="I25" s="11">
        <v>6.35</v>
      </c>
      <c r="J25" s="3">
        <v>13</v>
      </c>
      <c r="K25" s="3">
        <v>4</v>
      </c>
      <c r="L25" s="3">
        <f>2*8</f>
        <v>16</v>
      </c>
      <c r="M25" s="22"/>
    </row>
    <row r="26" spans="2:13" ht="45">
      <c r="B26" s="20">
        <v>24</v>
      </c>
      <c r="C26" s="3">
        <v>12</v>
      </c>
      <c r="D26" s="3" t="s">
        <v>27</v>
      </c>
      <c r="E26" s="4" t="s">
        <v>32</v>
      </c>
      <c r="F26" s="3">
        <v>1</v>
      </c>
      <c r="G26" s="3">
        <v>1543</v>
      </c>
      <c r="H26" s="3">
        <f>G26-2*16</f>
        <v>1511</v>
      </c>
      <c r="I26" s="11">
        <v>6.35</v>
      </c>
      <c r="J26" s="3">
        <v>13</v>
      </c>
      <c r="K26" s="3">
        <v>4</v>
      </c>
      <c r="L26" s="3">
        <f>2*8</f>
        <v>16</v>
      </c>
      <c r="M26" s="22"/>
    </row>
    <row r="27" spans="2:13" ht="45">
      <c r="B27" s="20">
        <v>25</v>
      </c>
      <c r="C27" s="3">
        <v>12</v>
      </c>
      <c r="D27" s="3" t="s">
        <v>28</v>
      </c>
      <c r="E27" s="4" t="s">
        <v>32</v>
      </c>
      <c r="F27" s="3">
        <v>1</v>
      </c>
      <c r="G27" s="3">
        <v>1359</v>
      </c>
      <c r="H27" s="3">
        <f>G27-2*13</f>
        <v>1333</v>
      </c>
      <c r="I27" s="11">
        <v>6.35</v>
      </c>
      <c r="J27" s="3">
        <v>13</v>
      </c>
      <c r="K27" s="6" t="s">
        <v>35</v>
      </c>
      <c r="L27" s="3">
        <f>2*8</f>
        <v>16</v>
      </c>
      <c r="M27" s="22"/>
    </row>
    <row r="28" spans="2:13" ht="45">
      <c r="B28" s="20">
        <v>22</v>
      </c>
      <c r="C28" s="3">
        <v>13</v>
      </c>
      <c r="D28" s="3" t="s">
        <v>25</v>
      </c>
      <c r="E28" s="4" t="s">
        <v>32</v>
      </c>
      <c r="F28" s="3">
        <v>2</v>
      </c>
      <c r="G28" s="3">
        <v>1489</v>
      </c>
      <c r="H28" s="3">
        <f>G28-2*16</f>
        <v>1457</v>
      </c>
      <c r="I28" s="11">
        <v>6.35</v>
      </c>
      <c r="J28" s="3">
        <v>13</v>
      </c>
      <c r="K28" s="3">
        <v>4</v>
      </c>
      <c r="L28" s="3">
        <f>2*8</f>
        <v>16</v>
      </c>
      <c r="M28" s="22"/>
    </row>
    <row r="29" spans="2:13" ht="45">
      <c r="B29" s="20">
        <v>23</v>
      </c>
      <c r="C29" s="3">
        <v>13</v>
      </c>
      <c r="D29" s="3" t="s">
        <v>26</v>
      </c>
      <c r="E29" s="4" t="s">
        <v>32</v>
      </c>
      <c r="F29" s="3">
        <v>1</v>
      </c>
      <c r="G29" s="3">
        <v>1489</v>
      </c>
      <c r="H29" s="3">
        <f>G29-2*16</f>
        <v>1457</v>
      </c>
      <c r="I29" s="11">
        <v>6.35</v>
      </c>
      <c r="J29" s="3">
        <v>13</v>
      </c>
      <c r="K29" s="3">
        <v>4</v>
      </c>
      <c r="L29" s="3">
        <f>2*8</f>
        <v>16</v>
      </c>
      <c r="M29" s="22"/>
    </row>
    <row r="30" spans="2:13" ht="45">
      <c r="B30" s="20">
        <v>24</v>
      </c>
      <c r="C30" s="3">
        <v>13</v>
      </c>
      <c r="D30" s="3" t="s">
        <v>27</v>
      </c>
      <c r="E30" s="4" t="s">
        <v>32</v>
      </c>
      <c r="F30" s="3">
        <v>1</v>
      </c>
      <c r="G30" s="3">
        <v>1621</v>
      </c>
      <c r="H30" s="3">
        <f>G30-2*16</f>
        <v>1589</v>
      </c>
      <c r="I30" s="11">
        <v>6.35</v>
      </c>
      <c r="J30" s="3">
        <v>13</v>
      </c>
      <c r="K30" s="3">
        <v>4</v>
      </c>
      <c r="L30" s="3">
        <f>2*8</f>
        <v>16</v>
      </c>
      <c r="M30" s="22"/>
    </row>
    <row r="31" spans="2:13" ht="45">
      <c r="B31" s="20">
        <v>25</v>
      </c>
      <c r="C31" s="3">
        <v>12</v>
      </c>
      <c r="D31" s="3" t="s">
        <v>28</v>
      </c>
      <c r="E31" s="4" t="s">
        <v>32</v>
      </c>
      <c r="F31" s="3">
        <v>1</v>
      </c>
      <c r="G31" s="3">
        <v>1327</v>
      </c>
      <c r="H31" s="3">
        <f>G31-2*16</f>
        <v>1295</v>
      </c>
      <c r="I31" s="11">
        <v>6.35</v>
      </c>
      <c r="J31" s="3">
        <v>13</v>
      </c>
      <c r="K31" s="6" t="s">
        <v>35</v>
      </c>
      <c r="L31" s="3">
        <f>2*8</f>
        <v>16</v>
      </c>
      <c r="M31" s="22"/>
    </row>
    <row r="32" spans="2:13">
      <c r="B32" s="21"/>
      <c r="C32" s="8"/>
      <c r="D32" s="9"/>
      <c r="E32" s="8"/>
      <c r="F32" s="8"/>
      <c r="G32" s="8"/>
      <c r="H32" s="8"/>
      <c r="I32" s="8"/>
      <c r="J32" s="8"/>
      <c r="K32" s="8"/>
      <c r="L32" s="8"/>
      <c r="M32" s="22"/>
    </row>
    <row r="33" spans="2:13" ht="18.75">
      <c r="B33" s="34" t="s">
        <v>24</v>
      </c>
      <c r="C33" s="35"/>
      <c r="D33" s="35"/>
      <c r="E33" s="35"/>
      <c r="F33" s="35"/>
      <c r="G33" s="35"/>
      <c r="H33" s="35"/>
      <c r="I33" s="40"/>
      <c r="J33" s="23"/>
      <c r="K33" s="23"/>
      <c r="L33" s="23"/>
      <c r="M33" s="24"/>
    </row>
    <row r="34" spans="2:13">
      <c r="B34" s="18" t="s">
        <v>16</v>
      </c>
      <c r="C34" s="7" t="s">
        <v>17</v>
      </c>
      <c r="D34" s="10" t="s">
        <v>1</v>
      </c>
      <c r="E34" s="10" t="s">
        <v>2</v>
      </c>
      <c r="F34" s="2" t="s">
        <v>6</v>
      </c>
      <c r="G34" s="1" t="s">
        <v>7</v>
      </c>
      <c r="H34" s="1" t="s">
        <v>9</v>
      </c>
      <c r="I34" s="1" t="s">
        <v>18</v>
      </c>
      <c r="J34" s="23"/>
      <c r="K34" s="23"/>
      <c r="L34" s="23"/>
      <c r="M34" s="24"/>
    </row>
    <row r="35" spans="2:13" ht="60">
      <c r="B35" s="20">
        <v>1</v>
      </c>
      <c r="C35" s="3">
        <v>7</v>
      </c>
      <c r="D35" s="12" t="s">
        <v>37</v>
      </c>
      <c r="E35" s="4" t="s">
        <v>36</v>
      </c>
      <c r="F35" s="3" t="s">
        <v>19</v>
      </c>
      <c r="G35" s="3" t="s">
        <v>34</v>
      </c>
      <c r="H35" s="3" t="s">
        <v>10</v>
      </c>
      <c r="I35" s="3">
        <f>6*2*2</f>
        <v>24</v>
      </c>
      <c r="J35" s="23"/>
      <c r="K35" s="23"/>
      <c r="L35" s="23"/>
      <c r="M35" s="24"/>
    </row>
    <row r="36" spans="2:13" ht="60">
      <c r="B36" s="20">
        <v>2</v>
      </c>
      <c r="C36" s="3">
        <v>8</v>
      </c>
      <c r="D36" s="12" t="s">
        <v>37</v>
      </c>
      <c r="E36" s="4" t="s">
        <v>36</v>
      </c>
      <c r="F36" s="3" t="s">
        <v>19</v>
      </c>
      <c r="G36" s="3" t="s">
        <v>34</v>
      </c>
      <c r="H36" s="3" t="s">
        <v>10</v>
      </c>
      <c r="I36" s="3">
        <f>10*2*4</f>
        <v>80</v>
      </c>
      <c r="J36" s="23"/>
      <c r="K36" s="23"/>
      <c r="L36" s="23"/>
      <c r="M36" s="24"/>
    </row>
    <row r="37" spans="2:13" ht="60">
      <c r="B37" s="20">
        <v>3</v>
      </c>
      <c r="C37" s="3">
        <v>9</v>
      </c>
      <c r="D37" s="12" t="s">
        <v>37</v>
      </c>
      <c r="E37" s="4" t="s">
        <v>36</v>
      </c>
      <c r="F37" s="3" t="s">
        <v>19</v>
      </c>
      <c r="G37" s="3" t="s">
        <v>34</v>
      </c>
      <c r="H37" s="3" t="s">
        <v>10</v>
      </c>
      <c r="I37" s="3">
        <f>10*2*8</f>
        <v>160</v>
      </c>
      <c r="J37" s="23"/>
      <c r="K37" s="23"/>
      <c r="L37" s="23"/>
      <c r="M37" s="24"/>
    </row>
    <row r="38" spans="2:13" ht="60">
      <c r="B38" s="20">
        <v>4</v>
      </c>
      <c r="C38" s="3">
        <v>10</v>
      </c>
      <c r="D38" s="12" t="s">
        <v>37</v>
      </c>
      <c r="E38" s="4" t="s">
        <v>36</v>
      </c>
      <c r="F38" s="3" t="s">
        <v>19</v>
      </c>
      <c r="G38" s="3" t="s">
        <v>34</v>
      </c>
      <c r="H38" s="3" t="s">
        <v>10</v>
      </c>
      <c r="I38" s="3">
        <f>10*1*4</f>
        <v>40</v>
      </c>
      <c r="J38" s="8"/>
      <c r="K38" s="8"/>
      <c r="L38" s="8"/>
      <c r="M38" s="25"/>
    </row>
    <row r="39" spans="2:13" ht="60">
      <c r="B39" s="20">
        <v>5</v>
      </c>
      <c r="C39" s="3">
        <v>10</v>
      </c>
      <c r="D39" s="12" t="s">
        <v>37</v>
      </c>
      <c r="E39" s="4" t="s">
        <v>36</v>
      </c>
      <c r="F39" s="3" t="s">
        <v>19</v>
      </c>
      <c r="G39" s="3" t="s">
        <v>8</v>
      </c>
      <c r="H39" s="3" t="s">
        <v>10</v>
      </c>
      <c r="I39" s="3">
        <f>10*1*4</f>
        <v>40</v>
      </c>
      <c r="J39" s="8"/>
      <c r="K39" s="8"/>
      <c r="L39" s="8"/>
      <c r="M39" s="25"/>
    </row>
    <row r="40" spans="2:13" ht="60">
      <c r="B40" s="20">
        <v>6</v>
      </c>
      <c r="C40" s="3">
        <v>11</v>
      </c>
      <c r="D40" s="12" t="s">
        <v>37</v>
      </c>
      <c r="E40" s="4" t="s">
        <v>36</v>
      </c>
      <c r="F40" s="3" t="s">
        <v>19</v>
      </c>
      <c r="G40" s="3" t="s">
        <v>34</v>
      </c>
      <c r="H40" s="3" t="s">
        <v>10</v>
      </c>
      <c r="I40" s="3">
        <f>6*2*4</f>
        <v>48</v>
      </c>
      <c r="J40" s="8"/>
      <c r="K40" s="8"/>
      <c r="L40" s="8"/>
      <c r="M40" s="25"/>
    </row>
    <row r="41" spans="2:13" ht="60">
      <c r="B41" s="20">
        <v>7</v>
      </c>
      <c r="C41" s="3">
        <v>12</v>
      </c>
      <c r="D41" s="12" t="s">
        <v>29</v>
      </c>
      <c r="E41" s="4" t="s">
        <v>36</v>
      </c>
      <c r="F41" s="3" t="s">
        <v>30</v>
      </c>
      <c r="G41" s="3" t="s">
        <v>34</v>
      </c>
      <c r="H41" s="3" t="s">
        <v>10</v>
      </c>
      <c r="I41" s="3">
        <f>2*1*8</f>
        <v>16</v>
      </c>
      <c r="J41" s="8"/>
      <c r="K41" s="8"/>
      <c r="L41" s="8"/>
      <c r="M41" s="25"/>
    </row>
    <row r="42" spans="2:13" ht="60.75" thickBot="1">
      <c r="B42" s="26">
        <v>8</v>
      </c>
      <c r="C42" s="27">
        <v>13</v>
      </c>
      <c r="D42" s="28" t="s">
        <v>29</v>
      </c>
      <c r="E42" s="29" t="s">
        <v>36</v>
      </c>
      <c r="F42" s="27" t="s">
        <v>21</v>
      </c>
      <c r="G42" s="27" t="s">
        <v>34</v>
      </c>
      <c r="H42" s="27" t="s">
        <v>10</v>
      </c>
      <c r="I42" s="27">
        <f>2*1*8</f>
        <v>16</v>
      </c>
      <c r="J42" s="30"/>
      <c r="K42" s="30"/>
      <c r="L42" s="30"/>
      <c r="M42" s="31"/>
    </row>
    <row r="43" spans="2:13">
      <c r="B43" s="8"/>
      <c r="C43" s="8"/>
      <c r="D43" s="14"/>
      <c r="E43" s="9"/>
      <c r="F43" s="8"/>
      <c r="G43" s="8"/>
      <c r="H43" s="8"/>
      <c r="I43" s="8"/>
      <c r="J43" s="8"/>
      <c r="K43" s="8"/>
      <c r="L43" s="8"/>
      <c r="M43" s="8"/>
    </row>
    <row r="44" spans="2:13" s="13" customFormat="1" ht="12"/>
    <row r="45" spans="2:13">
      <c r="B45" t="s">
        <v>11</v>
      </c>
      <c r="D45" s="5" t="s">
        <v>12</v>
      </c>
    </row>
  </sheetData>
  <mergeCells count="6">
    <mergeCell ref="M4:M23"/>
    <mergeCell ref="B2:M2"/>
    <mergeCell ref="E4:E7"/>
    <mergeCell ref="E8:E11"/>
    <mergeCell ref="E12:E15"/>
    <mergeCell ref="B33:I33"/>
  </mergeCells>
  <pageMargins left="0.7" right="0.7" top="0.75" bottom="0.75" header="0.3" footer="0.3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2026-04-22T10:46:54Z</dcterms:modified>
</cp:coreProperties>
</file>